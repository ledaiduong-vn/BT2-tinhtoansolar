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CD7A7F3-ECB9-477A-8EDF-812790A7C9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oo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6" roundtripDataChecksum="BCMe2Im6Fuch4rIoO+EgT2Nq4kA5eE//ftf/RXQq678="/>
    </ext>
  </extLst>
</workbook>
</file>

<file path=xl/calcChain.xml><?xml version="1.0" encoding="utf-8"?>
<calcChain xmlns="http://schemas.openxmlformats.org/spreadsheetml/2006/main">
  <c r="I3" i="2" l="1"/>
  <c r="G8" i="2"/>
  <c r="G7" i="2"/>
  <c r="G2" i="2"/>
  <c r="C26" i="2" l="1"/>
  <c r="C25" i="2"/>
  <c r="C24" i="2"/>
  <c r="C27" i="2" s="1"/>
  <c r="C28" i="2" s="1"/>
  <c r="C23" i="2"/>
  <c r="C22" i="2"/>
  <c r="C21" i="2"/>
  <c r="C11" i="2"/>
  <c r="C10" i="2"/>
  <c r="C9" i="2"/>
  <c r="C8" i="2"/>
  <c r="C7" i="2"/>
  <c r="C6" i="2"/>
  <c r="E5" i="2"/>
  <c r="C12" i="2" l="1"/>
  <c r="C13" i="2" s="1"/>
</calcChain>
</file>

<file path=xl/sharedStrings.xml><?xml version="1.0" encoding="utf-8"?>
<sst xmlns="http://schemas.openxmlformats.org/spreadsheetml/2006/main" count="63" uniqueCount="33">
  <si>
    <t>STT</t>
  </si>
  <si>
    <t>Ghi chú</t>
  </si>
  <si>
    <t xml:space="preserve">Tính toán </t>
  </si>
  <si>
    <t>Chỉ số</t>
  </si>
  <si>
    <t>Giá trị</t>
  </si>
  <si>
    <t>Chỉ số cũ</t>
  </si>
  <si>
    <t>kWh</t>
  </si>
  <si>
    <t>Chỉ số mới</t>
  </si>
  <si>
    <t>Sản lượng điện tiêu thụ</t>
  </si>
  <si>
    <t>Tiền điện bậc 1 (0 - 50kWh)</t>
  </si>
  <si>
    <t>1,984đ/kWh</t>
  </si>
  <si>
    <t>Tiền điện bậc 2 (51 - 100kWh)</t>
  </si>
  <si>
    <t>2,050đ/kWh</t>
  </si>
  <si>
    <t>Tiền điện bậc 3 (101 - 200kWh)</t>
  </si>
  <si>
    <t>2.380đ/kWh</t>
  </si>
  <si>
    <t>Tiền điện bậc 4 (201 - 300kWh)</t>
  </si>
  <si>
    <t>2.998đ/kWh</t>
  </si>
  <si>
    <t>Tiền điện bậc 5 (301 - 400kWh)</t>
  </si>
  <si>
    <t>3350đ/kWh</t>
  </si>
  <si>
    <t>Tiền điện bậc 6 (&gt; 400kWh)</t>
  </si>
  <si>
    <t>3460đ/kWh</t>
  </si>
  <si>
    <t xml:space="preserve">Tổng tiền điện chưa thuế </t>
  </si>
  <si>
    <t>đồng</t>
  </si>
  <si>
    <t xml:space="preserve">Tổng tiền điện Sau thuế </t>
  </si>
  <si>
    <t>Thông số</t>
  </si>
  <si>
    <t>Công suất pin (kWp)</t>
  </si>
  <si>
    <t>Công suất inverter (kW)</t>
  </si>
  <si>
    <t>Số giờ nắng trung bình (h/ngày)</t>
  </si>
  <si>
    <t>Hiệu suất hệ thống (%)</t>
  </si>
  <si>
    <t>Sản lượng điện/ngày (kWh)</t>
  </si>
  <si>
    <t>Công thức: min(kWp, kW inverter) * giờ nắng * hiệu suất</t>
  </si>
  <si>
    <t>4.5-5.5</t>
  </si>
  <si>
    <t>80 -95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</si>
</sst>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000_);_(* \(#,##0.0000\);_(* &quot;-&quot;??_);_(@_)"/>
  </numFmts>
  <fonts count="6" x14ac:knownFonts="1">
    <font>
      <sz val="11"/>
      <color theme="1"/>
      <name val="Calibri"/>
      <scheme val="minor"/>
    </font>
    <font>
      <sz val="11"/>
      <name val="Calibri"/>
    </font>
    <font>
      <b/>
      <sz val="12"/>
      <color theme="1"/>
      <name val="Times New Roman"/>
    </font>
    <font>
      <sz val="11"/>
      <color theme="1"/>
      <name val="Calibri"/>
    </font>
    <font>
      <b/>
      <sz val="11"/>
      <color theme="1"/>
      <name val="Calibri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9CC2E5"/>
        <bgColor rgb="FF9CC2E5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4" fontId="3" fillId="0" borderId="0" xfId="0" applyNumberFormat="1" applyFont="1"/>
    <xf numFmtId="0" fontId="3" fillId="4" borderId="1" xfId="0" applyFont="1" applyFill="1" applyBorder="1" applyAlignment="1">
      <alignment horizontal="center"/>
    </xf>
    <xf numFmtId="166" fontId="3" fillId="4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6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0" fontId="0" fillId="0" borderId="5" xfId="0" applyBorder="1"/>
    <xf numFmtId="0" fontId="0" fillId="6" borderId="5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customschemas.google.com/relationships/workbookmetadata" Target="metadata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8" Type="http://schemas.openxmlformats.org/officeDocument/2006/relationships/styles" Target="styles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I986"/>
  <sheetViews>
    <sheetView tabSelected="1" workbookViewId="0">
      <selection activeCell="J15" sqref="J15"/>
    </sheetView>
  </sheetViews>
  <sheetFormatPr defaultColWidth="14.453125" defaultRowHeight="15" customHeight="1" x14ac:dyDescent="0.35"/>
  <cols>
    <col min="1" max="1" width="7.7265625" customWidth="1"/>
    <col min="2" max="2" width="30.54296875" customWidth="1"/>
    <col min="3" max="3" width="20" customWidth="1"/>
    <col min="4" max="4" width="30.81640625" customWidth="1"/>
    <col min="5" max="5" width="8.7265625" customWidth="1"/>
    <col min="6" max="6" width="27.36328125" bestFit="1" customWidth="1"/>
    <col min="7" max="7" width="5.81640625" bestFit="1" customWidth="1"/>
    <col min="8" max="26" width="8.7265625" customWidth="1"/>
  </cols>
  <sheetData>
    <row r="1" spans="1:9" ht="14.5" x14ac:dyDescent="0.35">
      <c r="A1" s="17" t="s">
        <v>2</v>
      </c>
      <c r="B1" s="18"/>
      <c r="C1" s="18"/>
      <c r="D1" s="19"/>
      <c r="F1" s="14" t="s">
        <v>24</v>
      </c>
      <c r="G1" s="14" t="s">
        <v>4</v>
      </c>
      <c r="H1" s="14" t="s">
        <v>1</v>
      </c>
    </row>
    <row r="2" spans="1:9" ht="21" customHeight="1" x14ac:dyDescent="0.35">
      <c r="A2" s="1" t="s">
        <v>0</v>
      </c>
      <c r="B2" s="1" t="s">
        <v>3</v>
      </c>
      <c r="C2" s="1" t="s">
        <v>4</v>
      </c>
      <c r="D2" s="1" t="s">
        <v>1</v>
      </c>
      <c r="F2" s="13" t="s">
        <v>25</v>
      </c>
      <c r="G2" s="13">
        <f>0.63*14</f>
        <v>8.82</v>
      </c>
      <c r="H2" s="13"/>
    </row>
    <row r="3" spans="1:9" ht="14.5" x14ac:dyDescent="0.35">
      <c r="A3" s="2">
        <v>1</v>
      </c>
      <c r="B3" s="2" t="s">
        <v>5</v>
      </c>
      <c r="C3" s="3"/>
      <c r="D3" s="2" t="s">
        <v>6</v>
      </c>
      <c r="F3" s="13" t="s">
        <v>26</v>
      </c>
      <c r="G3" s="13">
        <v>8</v>
      </c>
      <c r="H3" s="13"/>
      <c r="I3">
        <f>G2/G3</f>
        <v>1.1025</v>
      </c>
    </row>
    <row r="4" spans="1:9" ht="14.5" x14ac:dyDescent="0.35">
      <c r="A4" s="2">
        <v>2</v>
      </c>
      <c r="B4" s="2" t="s">
        <v>7</v>
      </c>
      <c r="C4" s="3"/>
      <c r="D4" s="2" t="s">
        <v>6</v>
      </c>
      <c r="F4" s="13" t="s">
        <v>27</v>
      </c>
      <c r="G4" s="13">
        <v>4.5</v>
      </c>
      <c r="H4" s="15" t="s">
        <v>31</v>
      </c>
    </row>
    <row r="5" spans="1:9" ht="15.5" x14ac:dyDescent="0.35">
      <c r="A5" s="2">
        <v>3</v>
      </c>
      <c r="B5" s="2" t="s">
        <v>8</v>
      </c>
      <c r="C5" s="4">
        <v>1200</v>
      </c>
      <c r="D5" s="2" t="s">
        <v>6</v>
      </c>
      <c r="E5" s="5">
        <f>C5/30</f>
        <v>40</v>
      </c>
      <c r="F5" s="13" t="s">
        <v>28</v>
      </c>
      <c r="G5" s="13">
        <v>80</v>
      </c>
      <c r="H5" s="16" t="s">
        <v>32</v>
      </c>
    </row>
    <row r="6" spans="1:9" ht="14.5" x14ac:dyDescent="0.35">
      <c r="A6" s="2">
        <v>4</v>
      </c>
      <c r="B6" s="2" t="s">
        <v>9</v>
      </c>
      <c r="C6" s="3">
        <f>IF(C5&gt;50,50,C5)*1984</f>
        <v>99200</v>
      </c>
      <c r="D6" s="2" t="s">
        <v>10</v>
      </c>
      <c r="F6" s="13"/>
      <c r="G6" s="13"/>
      <c r="H6" s="13"/>
    </row>
    <row r="7" spans="1:9" ht="14.5" x14ac:dyDescent="0.35">
      <c r="A7" s="2">
        <v>5</v>
      </c>
      <c r="B7" s="2" t="s">
        <v>11</v>
      </c>
      <c r="C7" s="3">
        <f>IF(C5&gt;100,50,IF(C5&gt;50,C5-50,0))*2050</f>
        <v>102500</v>
      </c>
      <c r="D7" s="2" t="s">
        <v>12</v>
      </c>
      <c r="F7" s="13" t="s">
        <v>29</v>
      </c>
      <c r="G7" s="13">
        <f>MIN(G2,G3)*G4*(G5/100)</f>
        <v>28.8</v>
      </c>
      <c r="H7" s="13" t="s">
        <v>30</v>
      </c>
    </row>
    <row r="8" spans="1:9" ht="14.5" x14ac:dyDescent="0.35">
      <c r="A8" s="2">
        <v>6</v>
      </c>
      <c r="B8" s="2" t="s">
        <v>13</v>
      </c>
      <c r="C8" s="3">
        <f>IF(C5&gt;200,100,IF(C5&gt;100,C5-100,0))*2380</f>
        <v>238000</v>
      </c>
      <c r="D8" s="2" t="s">
        <v>14</v>
      </c>
      <c r="G8">
        <f>AVERAGE(G2:G3)*5*90/100</f>
        <v>37.844999999999999</v>
      </c>
    </row>
    <row r="9" spans="1:9" ht="14.5" x14ac:dyDescent="0.35">
      <c r="A9" s="2">
        <v>7</v>
      </c>
      <c r="B9" s="2" t="s">
        <v>15</v>
      </c>
      <c r="C9" s="3">
        <f>IF(C5&gt;300,100,IF(C5&gt;200,C5-200,0))*2998</f>
        <v>299800</v>
      </c>
      <c r="D9" s="2" t="s">
        <v>16</v>
      </c>
    </row>
    <row r="10" spans="1:9" ht="14.5" x14ac:dyDescent="0.35">
      <c r="A10" s="2">
        <v>8</v>
      </c>
      <c r="B10" s="2" t="s">
        <v>17</v>
      </c>
      <c r="C10" s="3">
        <f>IF(C5&gt;400,100,IF(C5&gt;300,C5-300,0))*3350</f>
        <v>335000</v>
      </c>
      <c r="D10" s="2" t="s">
        <v>18</v>
      </c>
    </row>
    <row r="11" spans="1:9" ht="14.5" x14ac:dyDescent="0.35">
      <c r="A11" s="2">
        <v>9</v>
      </c>
      <c r="B11" s="2" t="s">
        <v>19</v>
      </c>
      <c r="C11" s="3">
        <f>IF(C5&gt;400,C5-400,0)*3460</f>
        <v>2768000</v>
      </c>
      <c r="D11" s="2" t="s">
        <v>20</v>
      </c>
    </row>
    <row r="12" spans="1:9" ht="14.5" x14ac:dyDescent="0.35">
      <c r="A12" s="6">
        <v>10</v>
      </c>
      <c r="B12" s="7" t="s">
        <v>21</v>
      </c>
      <c r="C12" s="8">
        <f>SUM(C6:C11)</f>
        <v>3842500</v>
      </c>
      <c r="D12" s="7" t="s">
        <v>22</v>
      </c>
    </row>
    <row r="13" spans="1:9" ht="14.5" x14ac:dyDescent="0.35">
      <c r="A13" s="9"/>
      <c r="B13" s="10" t="s">
        <v>23</v>
      </c>
      <c r="C13" s="11">
        <f>C12*1.08</f>
        <v>4149900.0000000005</v>
      </c>
      <c r="D13" s="9"/>
    </row>
    <row r="14" spans="1:9" ht="15.75" customHeight="1" x14ac:dyDescent="0.35"/>
    <row r="15" spans="1:9" ht="15.75" customHeight="1" x14ac:dyDescent="0.35"/>
    <row r="16" spans="1:9" ht="15.75" customHeight="1" x14ac:dyDescent="0.35">
      <c r="A16" s="17" t="s">
        <v>2</v>
      </c>
      <c r="B16" s="18"/>
      <c r="C16" s="18"/>
      <c r="D16" s="19"/>
    </row>
    <row r="17" spans="1:4" ht="15.75" customHeight="1" x14ac:dyDescent="0.35">
      <c r="A17" s="1" t="s">
        <v>0</v>
      </c>
      <c r="B17" s="1" t="s">
        <v>3</v>
      </c>
      <c r="C17" s="1" t="s">
        <v>4</v>
      </c>
      <c r="D17" s="1" t="s">
        <v>1</v>
      </c>
    </row>
    <row r="18" spans="1:4" ht="15.75" customHeight="1" x14ac:dyDescent="0.35">
      <c r="A18" s="2">
        <v>1</v>
      </c>
      <c r="B18" s="2" t="s">
        <v>5</v>
      </c>
      <c r="C18" s="3"/>
      <c r="D18" s="2" t="s">
        <v>6</v>
      </c>
    </row>
    <row r="19" spans="1:4" ht="15.75" customHeight="1" x14ac:dyDescent="0.35">
      <c r="A19" s="2">
        <v>2</v>
      </c>
      <c r="B19" s="2" t="s">
        <v>7</v>
      </c>
      <c r="C19" s="3"/>
      <c r="D19" s="2" t="s">
        <v>6</v>
      </c>
    </row>
    <row r="20" spans="1:4" ht="15.75" customHeight="1" x14ac:dyDescent="0.35">
      <c r="A20" s="2">
        <v>3</v>
      </c>
      <c r="B20" s="2" t="s">
        <v>8</v>
      </c>
      <c r="C20" s="12">
        <v>945</v>
      </c>
      <c r="D20" s="2" t="s">
        <v>6</v>
      </c>
    </row>
    <row r="21" spans="1:4" ht="15.75" customHeight="1" x14ac:dyDescent="0.35">
      <c r="A21" s="2">
        <v>4</v>
      </c>
      <c r="B21" s="2" t="s">
        <v>9</v>
      </c>
      <c r="C21" s="3">
        <f>IF(C20&gt;50,50,C20)*1984</f>
        <v>99200</v>
      </c>
      <c r="D21" s="2" t="s">
        <v>10</v>
      </c>
    </row>
    <row r="22" spans="1:4" ht="15.75" customHeight="1" x14ac:dyDescent="0.35">
      <c r="A22" s="2">
        <v>5</v>
      </c>
      <c r="B22" s="2" t="s">
        <v>11</v>
      </c>
      <c r="C22" s="3">
        <f>IF(C20&gt;100,50,IF(C20&gt;50,C20-50,0))*2050</f>
        <v>102500</v>
      </c>
      <c r="D22" s="2" t="s">
        <v>12</v>
      </c>
    </row>
    <row r="23" spans="1:4" ht="15.75" customHeight="1" x14ac:dyDescent="0.35">
      <c r="A23" s="2">
        <v>6</v>
      </c>
      <c r="B23" s="2" t="s">
        <v>13</v>
      </c>
      <c r="C23" s="3">
        <f>IF(C20&gt;200,100,IF(C20&gt;100,C20-100,0))*2380</f>
        <v>238000</v>
      </c>
      <c r="D23" s="2" t="s">
        <v>14</v>
      </c>
    </row>
    <row r="24" spans="1:4" ht="15.75" customHeight="1" x14ac:dyDescent="0.35">
      <c r="A24" s="2">
        <v>7</v>
      </c>
      <c r="B24" s="2" t="s">
        <v>15</v>
      </c>
      <c r="C24" s="3">
        <f>IF(C20&gt;300,100,IF(C20&gt;200,C20-200,0))*2998</f>
        <v>299800</v>
      </c>
      <c r="D24" s="2" t="s">
        <v>16</v>
      </c>
    </row>
    <row r="25" spans="1:4" ht="15.75" customHeight="1" x14ac:dyDescent="0.35">
      <c r="A25" s="2">
        <v>8</v>
      </c>
      <c r="B25" s="2" t="s">
        <v>17</v>
      </c>
      <c r="C25" s="3">
        <f>IF(C20&gt;400,100,IF(C20&gt;300,C20-300,0))*3350</f>
        <v>335000</v>
      </c>
      <c r="D25" s="2" t="s">
        <v>18</v>
      </c>
    </row>
    <row r="26" spans="1:4" ht="15.75" customHeight="1" x14ac:dyDescent="0.35">
      <c r="A26" s="2">
        <v>9</v>
      </c>
      <c r="B26" s="2" t="s">
        <v>19</v>
      </c>
      <c r="C26" s="3">
        <f>IF(C20&gt;400,C20-400,0)*3460</f>
        <v>1885700</v>
      </c>
      <c r="D26" s="2" t="s">
        <v>20</v>
      </c>
    </row>
    <row r="27" spans="1:4" ht="15.75" customHeight="1" x14ac:dyDescent="0.35">
      <c r="A27" s="6">
        <v>10</v>
      </c>
      <c r="B27" s="7" t="s">
        <v>21</v>
      </c>
      <c r="C27" s="8">
        <f>SUM(C21:C26)</f>
        <v>2960200</v>
      </c>
      <c r="D27" s="7" t="s">
        <v>22</v>
      </c>
    </row>
    <row r="28" spans="1:4" ht="15.75" customHeight="1" x14ac:dyDescent="0.35">
      <c r="A28" s="9"/>
      <c r="B28" s="10" t="s">
        <v>23</v>
      </c>
      <c r="C28" s="11">
        <f>C27*1.08</f>
        <v>3197016</v>
      </c>
      <c r="D28" s="9"/>
    </row>
    <row r="29" spans="1:4" ht="15.75" customHeight="1" x14ac:dyDescent="0.35"/>
    <row r="30" spans="1:4" ht="15.75" customHeight="1" x14ac:dyDescent="0.35"/>
    <row r="31" spans="1:4" ht="15.75" customHeight="1" x14ac:dyDescent="0.35"/>
    <row r="32" spans="1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</sheetData>
  <mergeCells count="2">
    <mergeCell ref="A1:D1"/>
    <mergeCell ref="A16:D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Quoc Huy</dc:creator>
  <cp:lastModifiedBy>Le Dai Duong</cp:lastModifiedBy>
  <dcterms:created xsi:type="dcterms:W3CDTF">2023-07-25T11:27:29Z</dcterms:created>
  <dcterms:modified xsi:type="dcterms:W3CDTF">2026-03-29T03:31:50Z</dcterms:modified>
</cp:coreProperties>
</file>